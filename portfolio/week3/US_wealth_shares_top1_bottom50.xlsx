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rterly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<sst xmlns="http://schemas.openxmlformats.org/spreadsheetml/2006/main" count="159" uniqueCount="159">
  <si>
    <t xml:space="preserve">Quarter</t>
  </si>
  <si>
    <t xml:space="preserve">Top 1% share of net worth (%)</t>
  </si>
  <si>
    <t xml:space="preserve">Bottom 50% share of net worth (%)</t>
  </si>
  <si>
    <t xml:space="preserve">Top 1% ÷ Bottom 50% (times)</t>
  </si>
  <si>
    <t xml:space="preserve">Gap (percentage points)</t>
  </si>
  <si>
    <t xml:space="preserve">1989Q3</t>
  </si>
  <si>
    <t xml:space="preserve">1989Q4</t>
  </si>
  <si>
    <t xml:space="preserve">1990Q1</t>
  </si>
  <si>
    <t xml:space="preserve">1990Q2</t>
  </si>
  <si>
    <t xml:space="preserve">1990Q3</t>
  </si>
  <si>
    <t xml:space="preserve">1990Q4</t>
  </si>
  <si>
    <t xml:space="preserve">1991Q1</t>
  </si>
  <si>
    <t xml:space="preserve">1991Q2</t>
  </si>
  <si>
    <t xml:space="preserve">1991Q3</t>
  </si>
  <si>
    <t xml:space="preserve">1991Q4</t>
  </si>
  <si>
    <t xml:space="preserve">1992Q1</t>
  </si>
  <si>
    <t xml:space="preserve">1992Q2</t>
  </si>
  <si>
    <t xml:space="preserve">1992Q3</t>
  </si>
  <si>
    <t xml:space="preserve">1992Q4</t>
  </si>
  <si>
    <t xml:space="preserve">1993Q1</t>
  </si>
  <si>
    <t xml:space="preserve">1993Q2</t>
  </si>
  <si>
    <t xml:space="preserve">1993Q3</t>
  </si>
  <si>
    <t xml:space="preserve">1993Q4</t>
  </si>
  <si>
    <t xml:space="preserve">1994Q1</t>
  </si>
  <si>
    <t xml:space="preserve">1994Q2</t>
  </si>
  <si>
    <t xml:space="preserve">1994Q3</t>
  </si>
  <si>
    <t xml:space="preserve">1994Q4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</si>
  <si>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</si>
  <si>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</si>
  <si>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</si>
  <si>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</si>
  <si>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</si>
  <si>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</si>
  <si>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</si>
  <si>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</si>
  <si>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</si>
  <si>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</si>
  <si>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</si>
  <si>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</si>
  <si>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</si>
  <si>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</si>
  <si>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</si>
  <si>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</si>
  <si>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</si>
  <si>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</si>
  <si>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</si>
  <si>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</si>
  <si>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</si>
  <si>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</si>
  <si>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</si>
  <si>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</si>
  <si>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</si>
  <si>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</si>
  <si>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</si>
  <si>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</si>
  <si>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</si>
  <si>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</si>
  <si>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</si>
  <si>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</si>
  <si>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</si>
  <si>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</si>
  <si>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</si>
  <si>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</si>
  <si>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</si>
  <si>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</si>
  <si>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</si>
  <si>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</si>
  <si>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</si>
  <si>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</si>
  <si>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</si>
  <si>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</si>
  <si>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</si>
  <si>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</si>
  <si>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</si>
  <si>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</si>
  <si>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</si>
  <si>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</si>
  <si>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</si>
  <si>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</si>
  <si>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</si>
  <si>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</si>
  <si>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</si>
  <si>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</si>
  <si>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</si>
  <si>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</si>
  <si>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</si>
  <si>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</si>
  <si>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</si>
  <si>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</si>
  <si>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</si>
  <si>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</si>
  <si>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</si>
  <si>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</si>
  <si>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</si>
  <si>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</si>
  <si>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</si>
  <si>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</si>
  <si>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</si>
  <si>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</si>
  <si>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</si>
  <si>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</si>
  <si>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</si>
  <si>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</si>
  <si>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</si>
  <si>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</si>
  <si>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</si>
  <si>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</si>
  <si>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</si>
  <si>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</si>
  <si>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</si>
  <si>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</si>
  <si>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</si>
  <si>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</si>
  <si>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</si>
  <si>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</si>
  <si>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</si>
  <si>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</si>
  <si>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</si>
  <si>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</si>
  <si>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</si>
  <si>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</si>
  <si>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</si>
  <si>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</si>
  <si>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</si>
  <si>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</si>
  <si>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</si>
  <si>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</si>
  <si>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</si>
  <si>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</si>
  <si>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</si>
  <si>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</si>
  <si>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</si>
  <si>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</si>
  <si>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</si>
  <si>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</si>
  <si>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</si>
  <si>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</si>
  <si>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</si>
  <si>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</si>
  <si>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</si>
  <si>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</si>
  <si>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</si>
  <si>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</si>
  <si>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</si>
  <si>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</si>
  <si>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</si>
  <si>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</si>
  <si>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</si>
  <si>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</si>
  <si>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</si>
  <si>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</si>
  <si>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</si>
  <si>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</si>
  <si>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Source: Board of Governors of the Federal Reserve System, Distributional Financial Accounts (DFA), via FRED.</t>
  </si>
  <si>
    <t xml:space="preserve">Series: WFRBST01134 (Top 1% share of net worth), WFRBSB50215 (Bottom 50% share of net worth).</t>
  </si>
  <si>
    <t xml:space="preserve">https://fred.stlouisfed.org/series/WFRBST01134 | https://fred.stlouisfed.org/series/WFRBSB50215</t>
  </si>
  <si>
    <t xml:space="preserve">Retrieved 23 Oct 2026; FRED last updated 18 Sep 2026. Coverage Q3 1989 to Q2 2026, quarterly, not seasonally adjusted.</t>
  </si>
  <si>
    <t xml:space="preserve">Groups are ranked by household wealth (net worth), not income. Values are rounded to 0.1 pp by the Fed; DFA data are revised.</t>
  </si>
  <si>
    <t xml:space="preserve">Columns D and E are formulas calculated from columns B and 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</si>
</sst>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22.8</v>
      </c>
      <c r="C2" s="2" t="n">
        <v>3.5</v>
      </c>
      <c r="D2" s="3" t="n">
        <f aca="false">IFERROR(B2/C2,"")</f>
        <v>6.51428571428571</v>
      </c>
      <c r="E2" s="3" t="n">
        <f aca="false">B2-C2</f>
        <v>19.3</v>
      </c>
    </row>
    <row r="3" customFormat="false" ht="15" hidden="false" customHeight="false" outlineLevel="0" collapsed="false">
      <c r="A3" s="2" t="s">
        <v>6</v>
      </c>
      <c r="B3" s="2" t="n">
        <v>23</v>
      </c>
      <c r="C3" s="2" t="n">
        <v>3.4</v>
      </c>
      <c r="D3" s="3" t="n">
        <f aca="false">IFERROR(B3/C3,"")</f>
        <v>6.76470588235294</v>
      </c>
      <c r="E3" s="3" t="n">
        <f aca="false">B3-C3</f>
        <v>19.6</v>
      </c>
    </row>
    <row r="4" customFormat="false" ht="15" hidden="false" customHeight="false" outlineLevel="0" collapsed="false">
      <c r="A4" s="2" t="s">
        <v>7</v>
      </c>
      <c r="B4" s="2" t="n">
        <v>22.8</v>
      </c>
      <c r="C4" s="2" t="n">
        <v>3.5</v>
      </c>
      <c r="D4" s="3" t="n">
        <f aca="false">IFERROR(B4/C4,"")</f>
        <v>6.51428571428571</v>
      </c>
      <c r="E4" s="3" t="n">
        <f aca="false">B4-C4</f>
        <v>19.3</v>
      </c>
    </row>
    <row r="5" customFormat="false" ht="15" hidden="false" customHeight="false" outlineLevel="0" collapsed="false">
      <c r="A5" s="2" t="s">
        <v>8</v>
      </c>
      <c r="B5" s="2" t="n">
        <v>22.9</v>
      </c>
      <c r="C5" s="2" t="n">
        <v>3.4</v>
      </c>
      <c r="D5" s="3" t="n">
        <f aca="false">IFERROR(B5/C5,"")</f>
        <v>6.73529411764706</v>
      </c>
      <c r="E5" s="3" t="n">
        <f aca="false">B5-C5</f>
        <v>19.5</v>
      </c>
    </row>
    <row r="6" customFormat="false" ht="15" hidden="false" customHeight="false" outlineLevel="0" collapsed="false">
      <c r="A6" s="2" t="s">
        <v>9</v>
      </c>
      <c r="B6" s="2" t="n">
        <v>22.4</v>
      </c>
      <c r="C6" s="2" t="n">
        <v>3.5</v>
      </c>
      <c r="D6" s="3" t="n">
        <f aca="false">IFERROR(B6/C6,"")</f>
        <v>6.4</v>
      </c>
      <c r="E6" s="3" t="n">
        <f aca="false">B6-C6</f>
        <v>18.9</v>
      </c>
    </row>
    <row r="7" customFormat="false" ht="15" hidden="false" customHeight="false" outlineLevel="0" collapsed="false">
      <c r="A7" s="2" t="s">
        <v>10</v>
      </c>
      <c r="B7" s="2" t="n">
        <v>22.9</v>
      </c>
      <c r="C7" s="2" t="n">
        <v>3.6</v>
      </c>
      <c r="D7" s="3" t="n">
        <f aca="false">IFERROR(B7/C7,"")</f>
        <v>6.36111111111111</v>
      </c>
      <c r="E7" s="3" t="n">
        <f aca="false">B7-C7</f>
        <v>19.3</v>
      </c>
    </row>
    <row r="8" customFormat="false" ht="15" hidden="false" customHeight="false" outlineLevel="0" collapsed="false">
      <c r="A8" s="2" t="s">
        <v>11</v>
      </c>
      <c r="B8" s="2" t="n">
        <v>23.2</v>
      </c>
      <c r="C8" s="2" t="n">
        <v>3.5</v>
      </c>
      <c r="D8" s="3" t="n">
        <f aca="false">IFERROR(B8/C8,"")</f>
        <v>6.62857142857143</v>
      </c>
      <c r="E8" s="3" t="n">
        <f aca="false">B8-C8</f>
        <v>19.7</v>
      </c>
    </row>
    <row r="9" customFormat="false" ht="15" hidden="false" customHeight="false" outlineLevel="0" collapsed="false">
      <c r="A9" s="2" t="s">
        <v>12</v>
      </c>
      <c r="B9" s="2" t="n">
        <v>23.1</v>
      </c>
      <c r="C9" s="2" t="n">
        <v>3.5</v>
      </c>
      <c r="D9" s="3" t="n">
        <f aca="false">IFERROR(B9/C9,"")</f>
        <v>6.6</v>
      </c>
      <c r="E9" s="3" t="n">
        <f aca="false">B9-C9</f>
        <v>19.6</v>
      </c>
    </row>
    <row r="10" customFormat="false" ht="15" hidden="false" customHeight="false" outlineLevel="0" collapsed="false">
      <c r="A10" s="2" t="s">
        <v>13</v>
      </c>
      <c r="B10" s="2" t="n">
        <v>23.1</v>
      </c>
      <c r="C10" s="2" t="n">
        <v>3.7</v>
      </c>
      <c r="D10" s="3" t="n">
        <f aca="false">IFERROR(B10/C10,"")</f>
        <v>6.24324324324324</v>
      </c>
      <c r="E10" s="3" t="n">
        <f aca="false">B10-C10</f>
        <v>19.4</v>
      </c>
    </row>
    <row r="11" customFormat="false" ht="15" hidden="false" customHeight="false" outlineLevel="0" collapsed="false">
      <c r="A11" s="2" t="s">
        <v>14</v>
      </c>
      <c r="B11" s="2" t="n">
        <v>23.6</v>
      </c>
      <c r="C11" s="2" t="n">
        <v>3.7</v>
      </c>
      <c r="D11" s="3" t="n">
        <f aca="false">IFERROR(B11/C11,"")</f>
        <v>6.37837837837838</v>
      </c>
      <c r="E11" s="3" t="n">
        <f aca="false">B11-C11</f>
        <v>19.9</v>
      </c>
    </row>
    <row r="12" customFormat="false" ht="15" hidden="false" customHeight="false" outlineLevel="0" collapsed="false">
      <c r="A12" s="2" t="s">
        <v>15</v>
      </c>
      <c r="B12" s="2" t="n">
        <v>23.4</v>
      </c>
      <c r="C12" s="2" t="n">
        <v>3.8</v>
      </c>
      <c r="D12" s="3" t="n">
        <f aca="false">IFERROR(B12/C12,"")</f>
        <v>6.15789473684211</v>
      </c>
      <c r="E12" s="3" t="n">
        <f aca="false">B12-C12</f>
        <v>19.6</v>
      </c>
    </row>
    <row r="13" customFormat="false" ht="15" hidden="false" customHeight="false" outlineLevel="0" collapsed="false">
      <c r="A13" s="2" t="s">
        <v>16</v>
      </c>
      <c r="B13" s="2" t="n">
        <v>23.2</v>
      </c>
      <c r="C13" s="2" t="n">
        <v>3.9</v>
      </c>
      <c r="D13" s="3" t="n">
        <f aca="false">IFERROR(B13/C13,"")</f>
        <v>5.94871794871795</v>
      </c>
      <c r="E13" s="3" t="n">
        <f aca="false">B13-C13</f>
        <v>19.3</v>
      </c>
    </row>
    <row r="14" customFormat="false" ht="15" hidden="false" customHeight="false" outlineLevel="0" collapsed="false">
      <c r="A14" s="2" t="s">
        <v>17</v>
      </c>
      <c r="B14" s="2" t="n">
        <v>23</v>
      </c>
      <c r="C14" s="2" t="n">
        <v>4.1</v>
      </c>
      <c r="D14" s="3" t="n">
        <f aca="false">IFERROR(B14/C14,"")</f>
        <v>5.60975609756098</v>
      </c>
      <c r="E14" s="3" t="n">
        <f aca="false">B14-C14</f>
        <v>18.9</v>
      </c>
    </row>
    <row r="15" customFormat="false" ht="15" hidden="false" customHeight="false" outlineLevel="0" collapsed="false">
      <c r="A15" s="2" t="s">
        <v>18</v>
      </c>
      <c r="B15" s="2" t="n">
        <v>23.5</v>
      </c>
      <c r="C15" s="2" t="n">
        <v>4</v>
      </c>
      <c r="D15" s="3" t="n">
        <f aca="false">IFERROR(B15/C15,"")</f>
        <v>5.875</v>
      </c>
      <c r="E15" s="3" t="n">
        <f aca="false">B15-C15</f>
        <v>19.5</v>
      </c>
    </row>
    <row r="16" customFormat="false" ht="15" hidden="false" customHeight="false" outlineLevel="0" collapsed="false">
      <c r="A16" s="2" t="s">
        <v>19</v>
      </c>
      <c r="B16" s="2" t="n">
        <v>24</v>
      </c>
      <c r="C16" s="2" t="n">
        <v>3.8</v>
      </c>
      <c r="D16" s="3" t="n">
        <f aca="false">IFERROR(B16/C16,"")</f>
        <v>6.31578947368421</v>
      </c>
      <c r="E16" s="3" t="n">
        <f aca="false">B16-C16</f>
        <v>20.2</v>
      </c>
    </row>
    <row r="17" customFormat="false" ht="15" hidden="false" customHeight="false" outlineLevel="0" collapsed="false">
      <c r="A17" s="2" t="s">
        <v>20</v>
      </c>
      <c r="B17" s="2" t="n">
        <v>24.2</v>
      </c>
      <c r="C17" s="2" t="n">
        <v>3.8</v>
      </c>
      <c r="D17" s="3" t="n">
        <f aca="false">IFERROR(B17/C17,"")</f>
        <v>6.36842105263158</v>
      </c>
      <c r="E17" s="3" t="n">
        <f aca="false">B17-C17</f>
        <v>20.4</v>
      </c>
    </row>
    <row r="18" customFormat="false" ht="15" hidden="false" customHeight="false" outlineLevel="0" collapsed="false">
      <c r="A18" s="2" t="s">
        <v>21</v>
      </c>
      <c r="B18" s="2" t="n">
        <v>24.5</v>
      </c>
      <c r="C18" s="2" t="n">
        <v>3.8</v>
      </c>
      <c r="D18" s="3" t="n">
        <f aca="false">IFERROR(B18/C18,"")</f>
        <v>6.44736842105263</v>
      </c>
      <c r="E18" s="3" t="n">
        <f aca="false">B18-C18</f>
        <v>20.7</v>
      </c>
    </row>
    <row r="19" customFormat="false" ht="15" hidden="false" customHeight="false" outlineLevel="0" collapsed="false">
      <c r="A19" s="2" t="s">
        <v>22</v>
      </c>
      <c r="B19" s="2" t="n">
        <v>25</v>
      </c>
      <c r="C19" s="2" t="n">
        <v>3.7</v>
      </c>
      <c r="D19" s="3" t="n">
        <f aca="false">IFERROR(B19/C19,"")</f>
        <v>6.75675675675676</v>
      </c>
      <c r="E19" s="3" t="n">
        <f aca="false">B19-C19</f>
        <v>21.3</v>
      </c>
    </row>
    <row r="20" customFormat="false" ht="15" hidden="false" customHeight="false" outlineLevel="0" collapsed="false">
      <c r="A20" s="2" t="s">
        <v>23</v>
      </c>
      <c r="B20" s="2" t="n">
        <v>25.2</v>
      </c>
      <c r="C20" s="2" t="n">
        <v>3.5</v>
      </c>
      <c r="D20" s="3" t="n">
        <f aca="false">IFERROR(B20/C20,"")</f>
        <v>7.2</v>
      </c>
      <c r="E20" s="3" t="n">
        <f aca="false">B20-C20</f>
        <v>21.7</v>
      </c>
    </row>
    <row r="21" customFormat="false" ht="15" hidden="false" customHeight="false" outlineLevel="0" collapsed="false">
      <c r="A21" s="2" t="s">
        <v>24</v>
      </c>
      <c r="B21" s="2" t="n">
        <v>25.4</v>
      </c>
      <c r="C21" s="2" t="n">
        <v>3.4</v>
      </c>
      <c r="D21" s="3" t="n">
        <f aca="false">IFERROR(B21/C21,"")</f>
        <v>7.47058823529412</v>
      </c>
      <c r="E21" s="3" t="n">
        <f aca="false">B21-C21</f>
        <v>22</v>
      </c>
    </row>
    <row r="22" customFormat="false" ht="15" hidden="false" customHeight="false" outlineLevel="0" collapsed="false">
      <c r="A22" s="2" t="s">
        <v>25</v>
      </c>
      <c r="B22" s="2" t="n">
        <v>25.6</v>
      </c>
      <c r="C22" s="2" t="n">
        <v>3.5</v>
      </c>
      <c r="D22" s="3" t="n">
        <f aca="false">IFERROR(B22/C22,"")</f>
        <v>7.31428571428572</v>
      </c>
      <c r="E22" s="3" t="n">
        <f aca="false">B22-C22</f>
        <v>22.1</v>
      </c>
    </row>
    <row r="23" customFormat="false" ht="15" hidden="false" customHeight="false" outlineLevel="0" collapsed="false">
      <c r="A23" s="2" t="s">
        <v>26</v>
      </c>
      <c r="B23" s="2" t="n">
        <v>26</v>
      </c>
      <c r="C23" s="2" t="n">
        <v>3.5</v>
      </c>
      <c r="D23" s="3" t="n">
        <f aca="false">IFERROR(B23/C23,"")</f>
        <v>7.42857142857143</v>
      </c>
      <c r="E23" s="3" t="n">
        <f aca="false">B23-C23</f>
        <v>22.5</v>
      </c>
    </row>
    <row r="24" customFormat="false" ht="15" hidden="false" customHeight="false" outlineLevel="0" collapsed="false">
      <c r="A24" s="2" t="s">
        <v>27</v>
      </c>
      <c r="B24" s="2" t="n">
        <v>26.4</v>
      </c>
      <c r="C24" s="2" t="n">
        <v>3.5</v>
      </c>
      <c r="D24" s="3" t="n">
        <f aca="false">IFERROR(B24/C24,"")</f>
        <v>7.54285714285714</v>
      </c>
      <c r="E24" s="3" t="n">
        <f aca="false">B24-C24</f>
        <v>22.9</v>
      </c>
    </row>
    <row r="25" customFormat="false" ht="15" hidden="false" customHeight="false" outlineLevel="0" collapsed="false">
      <c r="A25" s="2" t="s">
        <v>28</v>
      </c>
      <c r="B25" s="2" t="n">
        <v>26.7</v>
      </c>
      <c r="C25" s="2" t="n">
        <v>3.6</v>
      </c>
      <c r="D25" s="3" t="n">
        <f aca="false">IFERROR(B25/C25,"")</f>
        <v>7.41666666666667</v>
      </c>
      <c r="E25" s="3" t="n">
        <f aca="false">B25-C25</f>
        <v>23.1</v>
      </c>
    </row>
    <row r="26" customFormat="false" ht="15" hidden="false" customHeight="false" outlineLevel="0" collapsed="false">
      <c r="A26" s="2" t="s">
        <v>29</v>
      </c>
      <c r="B26" s="2" t="n">
        <v>27.3</v>
      </c>
      <c r="C26" s="2" t="n">
        <v>3.7</v>
      </c>
      <c r="D26" s="3" t="n">
        <f aca="false">IFERROR(B26/C26,"")</f>
        <v>7.37837837837838</v>
      </c>
      <c r="E26" s="3" t="n">
        <f aca="false">B26-C26</f>
        <v>23.6</v>
      </c>
    </row>
    <row r="27" customFormat="false" ht="15" hidden="false" customHeight="false" outlineLevel="0" collapsed="false">
      <c r="A27" s="2" t="s">
        <v>30</v>
      </c>
      <c r="B27" s="2" t="n">
        <v>27.4</v>
      </c>
      <c r="C27" s="2" t="n">
        <v>3.6</v>
      </c>
      <c r="D27" s="3" t="n">
        <f aca="false">IFERROR(B27/C27,"")</f>
        <v>7.61111111111111</v>
      </c>
      <c r="E27" s="3" t="n">
        <f aca="false">B27-C27</f>
        <v>23.8</v>
      </c>
    </row>
    <row r="28" customFormat="false" ht="15" hidden="false" customHeight="false" outlineLevel="0" collapsed="false">
      <c r="A28" s="2" t="s">
        <v>31</v>
      </c>
      <c r="B28" s="2" t="n">
        <v>27.4</v>
      </c>
      <c r="C28" s="2" t="n">
        <v>3.5</v>
      </c>
      <c r="D28" s="3" t="n">
        <f aca="false">IFERROR(B28/C28,"")</f>
        <v>7.82857142857143</v>
      </c>
      <c r="E28" s="3" t="n">
        <f aca="false">B28-C28</f>
        <v>23.9</v>
      </c>
    </row>
    <row r="29" customFormat="false" ht="15" hidden="false" customHeight="false" outlineLevel="0" collapsed="false">
      <c r="A29" s="2" t="s">
        <v>32</v>
      </c>
      <c r="B29" s="2" t="n">
        <v>27.3</v>
      </c>
      <c r="C29" s="2" t="n">
        <v>3.4</v>
      </c>
      <c r="D29" s="3" t="n">
        <f aca="false">IFERROR(B29/C29,"")</f>
        <v>8.02941176470588</v>
      </c>
      <c r="E29" s="3" t="n">
        <f aca="false">B29-C29</f>
        <v>23.9</v>
      </c>
    </row>
    <row r="30" customFormat="false" ht="15" hidden="false" customHeight="false" outlineLevel="0" collapsed="false">
      <c r="A30" s="2" t="s">
        <v>33</v>
      </c>
      <c r="B30" s="2" t="n">
        <v>27.1</v>
      </c>
      <c r="C30" s="2" t="n">
        <v>3.5</v>
      </c>
      <c r="D30" s="3" t="n">
        <f aca="false">IFERROR(B30/C30,"")</f>
        <v>7.74285714285714</v>
      </c>
      <c r="E30" s="3" t="n">
        <f aca="false">B30-C30</f>
        <v>23.6</v>
      </c>
    </row>
    <row r="31" customFormat="false" ht="15" hidden="false" customHeight="false" outlineLevel="0" collapsed="false">
      <c r="A31" s="2" t="s">
        <v>34</v>
      </c>
      <c r="B31" s="2" t="n">
        <v>27.1</v>
      </c>
      <c r="C31" s="2" t="n">
        <v>3.4</v>
      </c>
      <c r="D31" s="3" t="n">
        <f aca="false">IFERROR(B31/C31,"")</f>
        <v>7.97058823529412</v>
      </c>
      <c r="E31" s="3" t="n">
        <f aca="false">B31-C31</f>
        <v>23.7</v>
      </c>
    </row>
    <row r="32" customFormat="false" ht="15" hidden="false" customHeight="false" outlineLevel="0" collapsed="false">
      <c r="A32" s="2" t="s">
        <v>35</v>
      </c>
      <c r="B32" s="2" t="n">
        <v>26.9</v>
      </c>
      <c r="C32" s="2" t="n">
        <v>3.4</v>
      </c>
      <c r="D32" s="3" t="n">
        <f aca="false">IFERROR(B32/C32,"")</f>
        <v>7.91176470588235</v>
      </c>
      <c r="E32" s="3" t="n">
        <f aca="false">B32-C32</f>
        <v>23.5</v>
      </c>
    </row>
    <row r="33" customFormat="false" ht="15" hidden="false" customHeight="false" outlineLevel="0" collapsed="false">
      <c r="A33" s="2" t="s">
        <v>36</v>
      </c>
      <c r="B33" s="2" t="n">
        <v>27.1</v>
      </c>
      <c r="C33" s="2" t="n">
        <v>3.4</v>
      </c>
      <c r="D33" s="3" t="n">
        <f aca="false">IFERROR(B33/C33,"")</f>
        <v>7.97058823529412</v>
      </c>
      <c r="E33" s="3" t="n">
        <f aca="false">B33-C33</f>
        <v>23.7</v>
      </c>
    </row>
    <row r="34" customFormat="false" ht="15" hidden="false" customHeight="false" outlineLevel="0" collapsed="false">
      <c r="A34" s="2" t="s">
        <v>37</v>
      </c>
      <c r="B34" s="2" t="n">
        <v>27.3</v>
      </c>
      <c r="C34" s="2" t="n">
        <v>3.4</v>
      </c>
      <c r="D34" s="3" t="n">
        <f aca="false">IFERROR(B34/C34,"")</f>
        <v>8.02941176470588</v>
      </c>
      <c r="E34" s="3" t="n">
        <f aca="false">B34-C34</f>
        <v>23.9</v>
      </c>
    </row>
    <row r="35" customFormat="false" ht="15" hidden="false" customHeight="false" outlineLevel="0" collapsed="false">
      <c r="A35" s="2" t="s">
        <v>38</v>
      </c>
      <c r="B35" s="2" t="n">
        <v>27.4</v>
      </c>
      <c r="C35" s="2" t="n">
        <v>3.3</v>
      </c>
      <c r="D35" s="3" t="n">
        <f aca="false">IFERROR(B35/C35,"")</f>
        <v>8.3030303030303</v>
      </c>
      <c r="E35" s="3" t="n">
        <f aca="false">B35-C35</f>
        <v>24.1</v>
      </c>
    </row>
    <row r="36" customFormat="false" ht="15" hidden="false" customHeight="false" outlineLevel="0" collapsed="false">
      <c r="A36" s="2" t="s">
        <v>39</v>
      </c>
      <c r="B36" s="2" t="n">
        <v>27.8</v>
      </c>
      <c r="C36" s="2" t="n">
        <v>3.3</v>
      </c>
      <c r="D36" s="3" t="n">
        <f aca="false">IFERROR(B36/C36,"")</f>
        <v>8.42424242424243</v>
      </c>
      <c r="E36" s="3" t="n">
        <f aca="false">B36-C36</f>
        <v>24.5</v>
      </c>
    </row>
    <row r="37" customFormat="false" ht="15" hidden="false" customHeight="false" outlineLevel="0" collapsed="false">
      <c r="A37" s="2" t="s">
        <v>40</v>
      </c>
      <c r="B37" s="2" t="n">
        <v>27.8</v>
      </c>
      <c r="C37" s="2" t="n">
        <v>3.2</v>
      </c>
      <c r="D37" s="3" t="n">
        <f aca="false">IFERROR(B37/C37,"")</f>
        <v>8.6875</v>
      </c>
      <c r="E37" s="3" t="n">
        <f aca="false">B37-C37</f>
        <v>24.6</v>
      </c>
    </row>
    <row r="38" customFormat="false" ht="15" hidden="false" customHeight="false" outlineLevel="0" collapsed="false">
      <c r="A38" s="2" t="s">
        <v>41</v>
      </c>
      <c r="B38" s="2" t="n">
        <v>27.1</v>
      </c>
      <c r="C38" s="2" t="n">
        <v>3.5</v>
      </c>
      <c r="D38" s="3" t="n">
        <f aca="false">IFERROR(B38/C38,"")</f>
        <v>7.74285714285714</v>
      </c>
      <c r="E38" s="3" t="n">
        <f aca="false">B38-C38</f>
        <v>23.6</v>
      </c>
    </row>
    <row r="39" customFormat="false" ht="15" hidden="false" customHeight="false" outlineLevel="0" collapsed="false">
      <c r="A39" s="2" t="s">
        <v>42</v>
      </c>
      <c r="B39" s="2" t="n">
        <v>27.7</v>
      </c>
      <c r="C39" s="2" t="n">
        <v>3.2</v>
      </c>
      <c r="D39" s="3" t="n">
        <f aca="false">IFERROR(B39/C39,"")</f>
        <v>8.65625</v>
      </c>
      <c r="E39" s="3" t="n">
        <f aca="false">B39-C39</f>
        <v>24.5</v>
      </c>
    </row>
    <row r="40" customFormat="false" ht="15" hidden="false" customHeight="false" outlineLevel="0" collapsed="false">
      <c r="A40" s="2" t="s">
        <v>43</v>
      </c>
      <c r="B40" s="2" t="n">
        <v>27.4</v>
      </c>
      <c r="C40" s="2" t="n">
        <v>3.3</v>
      </c>
      <c r="D40" s="3" t="n">
        <f aca="false">IFERROR(B40/C40,"")</f>
        <v>8.3030303030303</v>
      </c>
      <c r="E40" s="3" t="n">
        <f aca="false">B40-C40</f>
        <v>24.1</v>
      </c>
    </row>
    <row r="41" customFormat="false" ht="15" hidden="false" customHeight="false" outlineLevel="0" collapsed="false">
      <c r="A41" s="2" t="s">
        <v>44</v>
      </c>
      <c r="B41" s="2" t="n">
        <v>27.5</v>
      </c>
      <c r="C41" s="2" t="n">
        <v>3.2</v>
      </c>
      <c r="D41" s="3" t="n">
        <f aca="false">IFERROR(B41/C41,"")</f>
        <v>8.59375</v>
      </c>
      <c r="E41" s="3" t="n">
        <f aca="false">B41-C41</f>
        <v>24.3</v>
      </c>
    </row>
    <row r="42" customFormat="false" ht="15" hidden="false" customHeight="false" outlineLevel="0" collapsed="false">
      <c r="A42" s="2" t="s">
        <v>45</v>
      </c>
      <c r="B42" s="2" t="n">
        <v>27.3</v>
      </c>
      <c r="C42" s="2" t="n">
        <v>3.2</v>
      </c>
      <c r="D42" s="3" t="n">
        <f aca="false">IFERROR(B42/C42,"")</f>
        <v>8.53125</v>
      </c>
      <c r="E42" s="3" t="n">
        <f aca="false">B42-C42</f>
        <v>24.1</v>
      </c>
    </row>
    <row r="43" customFormat="false" ht="15" hidden="false" customHeight="false" outlineLevel="0" collapsed="false">
      <c r="A43" s="2" t="s">
        <v>46</v>
      </c>
      <c r="B43" s="2" t="n">
        <v>27.9</v>
      </c>
      <c r="C43" s="2" t="n">
        <v>3.2</v>
      </c>
      <c r="D43" s="3" t="n">
        <f aca="false">IFERROR(B43/C43,"")</f>
        <v>8.71875</v>
      </c>
      <c r="E43" s="3" t="n">
        <f aca="false">B43-C43</f>
        <v>24.7</v>
      </c>
    </row>
    <row r="44" customFormat="false" ht="15" hidden="false" customHeight="false" outlineLevel="0" collapsed="false">
      <c r="A44" s="2" t="s">
        <v>47</v>
      </c>
      <c r="B44" s="2" t="n">
        <v>27.9</v>
      </c>
      <c r="C44" s="2" t="n">
        <v>3.2</v>
      </c>
      <c r="D44" s="3" t="n">
        <f aca="false">IFERROR(B44/C44,"")</f>
        <v>8.71875</v>
      </c>
      <c r="E44" s="3" t="n">
        <f aca="false">B44-C44</f>
        <v>24.7</v>
      </c>
    </row>
    <row r="45" customFormat="false" ht="15" hidden="false" customHeight="false" outlineLevel="0" collapsed="false">
      <c r="A45" s="2" t="s">
        <v>48</v>
      </c>
      <c r="B45" s="2" t="n">
        <v>27.4</v>
      </c>
      <c r="C45" s="2" t="n">
        <v>3.2</v>
      </c>
      <c r="D45" s="3" t="n">
        <f aca="false">IFERROR(B45/C45,"")</f>
        <v>8.5625</v>
      </c>
      <c r="E45" s="3" t="n">
        <f aca="false">B45-C45</f>
        <v>24.2</v>
      </c>
    </row>
    <row r="46" customFormat="false" ht="15" hidden="false" customHeight="false" outlineLevel="0" collapsed="false">
      <c r="A46" s="2" t="s">
        <v>49</v>
      </c>
      <c r="B46" s="2" t="n">
        <v>27.3</v>
      </c>
      <c r="C46" s="2" t="n">
        <v>3.2</v>
      </c>
      <c r="D46" s="3" t="n">
        <f aca="false">IFERROR(B46/C46,"")</f>
        <v>8.53125</v>
      </c>
      <c r="E46" s="3" t="n">
        <f aca="false">B46-C46</f>
        <v>24.1</v>
      </c>
    </row>
    <row r="47" customFormat="false" ht="15" hidden="false" customHeight="false" outlineLevel="0" collapsed="false">
      <c r="A47" s="2" t="s">
        <v>50</v>
      </c>
      <c r="B47" s="2" t="n">
        <v>26.7</v>
      </c>
      <c r="C47" s="2" t="n">
        <v>3.2</v>
      </c>
      <c r="D47" s="3" t="n">
        <f aca="false">IFERROR(B47/C47,"")</f>
        <v>8.34375</v>
      </c>
      <c r="E47" s="3" t="n">
        <f aca="false">B47-C47</f>
        <v>23.5</v>
      </c>
    </row>
    <row r="48" customFormat="false" ht="15" hidden="false" customHeight="false" outlineLevel="0" collapsed="false">
      <c r="A48" s="2" t="s">
        <v>51</v>
      </c>
      <c r="B48" s="2" t="n">
        <v>26</v>
      </c>
      <c r="C48" s="2" t="n">
        <v>3.2</v>
      </c>
      <c r="D48" s="3" t="n">
        <f aca="false">IFERROR(B48/C48,"")</f>
        <v>8.125</v>
      </c>
      <c r="E48" s="3" t="n">
        <f aca="false">B48-C48</f>
        <v>22.8</v>
      </c>
    </row>
    <row r="49" customFormat="false" ht="15" hidden="false" customHeight="false" outlineLevel="0" collapsed="false">
      <c r="A49" s="2" t="s">
        <v>52</v>
      </c>
      <c r="B49" s="2" t="n">
        <v>26.1</v>
      </c>
      <c r="C49" s="2" t="n">
        <v>3.1</v>
      </c>
      <c r="D49" s="3" t="n">
        <f aca="false">IFERROR(B49/C49,"")</f>
        <v>8.41935483870968</v>
      </c>
      <c r="E49" s="3" t="n">
        <f aca="false">B49-C49</f>
        <v>23</v>
      </c>
    </row>
    <row r="50" customFormat="false" ht="15" hidden="false" customHeight="false" outlineLevel="0" collapsed="false">
      <c r="A50" s="2" t="s">
        <v>53</v>
      </c>
      <c r="B50" s="2" t="n">
        <v>25.5</v>
      </c>
      <c r="C50" s="2" t="n">
        <v>3.1</v>
      </c>
      <c r="D50" s="3" t="n">
        <f aca="false">IFERROR(B50/C50,"")</f>
        <v>8.2258064516129</v>
      </c>
      <c r="E50" s="3" t="n">
        <f aca="false">B50-C50</f>
        <v>22.4</v>
      </c>
    </row>
    <row r="51" customFormat="false" ht="15" hidden="false" customHeight="false" outlineLevel="0" collapsed="false">
      <c r="A51" s="2" t="s">
        <v>54</v>
      </c>
      <c r="B51" s="2" t="n">
        <v>25.7</v>
      </c>
      <c r="C51" s="2" t="n">
        <v>2.9</v>
      </c>
      <c r="D51" s="3" t="n">
        <f aca="false">IFERROR(B51/C51,"")</f>
        <v>8.86206896551724</v>
      </c>
      <c r="E51" s="3" t="n">
        <f aca="false">B51-C51</f>
        <v>22.8</v>
      </c>
    </row>
    <row r="52" customFormat="false" ht="15" hidden="false" customHeight="false" outlineLevel="0" collapsed="false">
      <c r="A52" s="2" t="s">
        <v>55</v>
      </c>
      <c r="B52" s="2" t="n">
        <v>25.6</v>
      </c>
      <c r="C52" s="2" t="n">
        <v>2.9</v>
      </c>
      <c r="D52" s="3" t="n">
        <f aca="false">IFERROR(B52/C52,"")</f>
        <v>8.82758620689655</v>
      </c>
      <c r="E52" s="3" t="n">
        <f aca="false">B52-C52</f>
        <v>22.7</v>
      </c>
    </row>
    <row r="53" customFormat="false" ht="15" hidden="false" customHeight="false" outlineLevel="0" collapsed="false">
      <c r="A53" s="2" t="s">
        <v>56</v>
      </c>
      <c r="B53" s="2" t="n">
        <v>25.4</v>
      </c>
      <c r="C53" s="2" t="n">
        <v>2.9</v>
      </c>
      <c r="D53" s="3" t="n">
        <f aca="false">IFERROR(B53/C53,"")</f>
        <v>8.75862068965517</v>
      </c>
      <c r="E53" s="3" t="n">
        <f aca="false">B53-C53</f>
        <v>22.5</v>
      </c>
    </row>
    <row r="54" customFormat="false" ht="15" hidden="false" customHeight="false" outlineLevel="0" collapsed="false">
      <c r="A54" s="2" t="s">
        <v>57</v>
      </c>
      <c r="B54" s="2" t="n">
        <v>24.7</v>
      </c>
      <c r="C54" s="2" t="n">
        <v>3</v>
      </c>
      <c r="D54" s="3" t="n">
        <f aca="false">IFERROR(B54/C54,"")</f>
        <v>8.23333333333333</v>
      </c>
      <c r="E54" s="3" t="n">
        <f aca="false">B54-C54</f>
        <v>21.7</v>
      </c>
    </row>
    <row r="55" customFormat="false" ht="15" hidden="false" customHeight="false" outlineLevel="0" collapsed="false">
      <c r="A55" s="2" t="s">
        <v>58</v>
      </c>
      <c r="B55" s="2" t="n">
        <v>24.8</v>
      </c>
      <c r="C55" s="2" t="n">
        <v>2.9</v>
      </c>
      <c r="D55" s="3" t="n">
        <f aca="false">IFERROR(B55/C55,"")</f>
        <v>8.55172413793104</v>
      </c>
      <c r="E55" s="3" t="n">
        <f aca="false">B55-C55</f>
        <v>21.9</v>
      </c>
    </row>
    <row r="56" customFormat="false" ht="15" hidden="false" customHeight="false" outlineLevel="0" collapsed="false">
      <c r="A56" s="2" t="s">
        <v>59</v>
      </c>
      <c r="B56" s="2" t="n">
        <v>24.7</v>
      </c>
      <c r="C56" s="2" t="n">
        <v>2.8</v>
      </c>
      <c r="D56" s="3" t="n">
        <f aca="false">IFERROR(B56/C56,"")</f>
        <v>8.82142857142857</v>
      </c>
      <c r="E56" s="3" t="n">
        <f aca="false">B56-C56</f>
        <v>21.9</v>
      </c>
    </row>
    <row r="57" customFormat="false" ht="15" hidden="false" customHeight="false" outlineLevel="0" collapsed="false">
      <c r="A57" s="2" t="s">
        <v>60</v>
      </c>
      <c r="B57" s="2" t="n">
        <v>25.3</v>
      </c>
      <c r="C57" s="2" t="n">
        <v>2.6</v>
      </c>
      <c r="D57" s="3" t="n">
        <f aca="false">IFERROR(B57/C57,"")</f>
        <v>9.73076923076923</v>
      </c>
      <c r="E57" s="3" t="n">
        <f aca="false">B57-C57</f>
        <v>22.7</v>
      </c>
    </row>
    <row r="58" customFormat="false" ht="15" hidden="false" customHeight="false" outlineLevel="0" collapsed="false">
      <c r="A58" s="2" t="s">
        <v>61</v>
      </c>
      <c r="B58" s="2" t="n">
        <v>25.5</v>
      </c>
      <c r="C58" s="2" t="n">
        <v>2.7</v>
      </c>
      <c r="D58" s="3" t="n">
        <f aca="false">IFERROR(B58/C58,"")</f>
        <v>9.44444444444445</v>
      </c>
      <c r="E58" s="3" t="n">
        <f aca="false">B58-C58</f>
        <v>22.8</v>
      </c>
    </row>
    <row r="59" customFormat="false" ht="15" hidden="false" customHeight="false" outlineLevel="0" collapsed="false">
      <c r="A59" s="2" t="s">
        <v>62</v>
      </c>
      <c r="B59" s="2" t="n">
        <v>25.9</v>
      </c>
      <c r="C59" s="2" t="n">
        <v>2.6</v>
      </c>
      <c r="D59" s="3" t="n">
        <f aca="false">IFERROR(B59/C59,"")</f>
        <v>9.96153846153846</v>
      </c>
      <c r="E59" s="3" t="n">
        <f aca="false">B59-C59</f>
        <v>23.3</v>
      </c>
    </row>
    <row r="60" customFormat="false" ht="15" hidden="false" customHeight="false" outlineLevel="0" collapsed="false">
      <c r="A60" s="2" t="s">
        <v>63</v>
      </c>
      <c r="B60" s="2" t="n">
        <v>26.6</v>
      </c>
      <c r="C60" s="2" t="n">
        <v>2.5</v>
      </c>
      <c r="D60" s="3" t="n">
        <f aca="false">IFERROR(B60/C60,"")</f>
        <v>10.64</v>
      </c>
      <c r="E60" s="3" t="n">
        <f aca="false">B60-C60</f>
        <v>24.1</v>
      </c>
    </row>
    <row r="61" customFormat="false" ht="15" hidden="false" customHeight="false" outlineLevel="0" collapsed="false">
      <c r="A61" s="2" t="s">
        <v>64</v>
      </c>
      <c r="B61" s="2" t="n">
        <v>26.5</v>
      </c>
      <c r="C61" s="2" t="n">
        <v>2.6</v>
      </c>
      <c r="D61" s="3" t="n">
        <f aca="false">IFERROR(B61/C61,"")</f>
        <v>10.1923076923077</v>
      </c>
      <c r="E61" s="3" t="n">
        <f aca="false">B61-C61</f>
        <v>23.9</v>
      </c>
    </row>
    <row r="62" customFormat="false" ht="15" hidden="false" customHeight="false" outlineLevel="0" collapsed="false">
      <c r="A62" s="2" t="s">
        <v>65</v>
      </c>
      <c r="B62" s="2" t="n">
        <v>26.8</v>
      </c>
      <c r="C62" s="2" t="n">
        <v>2.5</v>
      </c>
      <c r="D62" s="3" t="n">
        <f aca="false">IFERROR(B62/C62,"")</f>
        <v>10.72</v>
      </c>
      <c r="E62" s="3" t="n">
        <f aca="false">B62-C62</f>
        <v>24.3</v>
      </c>
    </row>
    <row r="63" customFormat="false" ht="15" hidden="false" customHeight="false" outlineLevel="0" collapsed="false">
      <c r="A63" s="2" t="s">
        <v>66</v>
      </c>
      <c r="B63" s="2" t="n">
        <v>27.1</v>
      </c>
      <c r="C63" s="2" t="n">
        <v>2.5</v>
      </c>
      <c r="D63" s="3" t="n">
        <f aca="false">IFERROR(B63/C63,"")</f>
        <v>10.84</v>
      </c>
      <c r="E63" s="3" t="n">
        <f aca="false">B63-C63</f>
        <v>24.6</v>
      </c>
    </row>
    <row r="64" customFormat="false" ht="15" hidden="false" customHeight="false" outlineLevel="0" collapsed="false">
      <c r="A64" s="2" t="s">
        <v>67</v>
      </c>
      <c r="B64" s="2" t="n">
        <v>27</v>
      </c>
      <c r="C64" s="2" t="n">
        <v>2.5</v>
      </c>
      <c r="D64" s="3" t="n">
        <f aca="false">IFERROR(B64/C64,"")</f>
        <v>10.8</v>
      </c>
      <c r="E64" s="3" t="n">
        <f aca="false">B64-C64</f>
        <v>24.5</v>
      </c>
    </row>
    <row r="65" customFormat="false" ht="15" hidden="false" customHeight="false" outlineLevel="0" collapsed="false">
      <c r="A65" s="2" t="s">
        <v>68</v>
      </c>
      <c r="B65" s="2" t="n">
        <v>27.2</v>
      </c>
      <c r="C65" s="2" t="n">
        <v>2.4</v>
      </c>
      <c r="D65" s="3" t="n">
        <f aca="false">IFERROR(B65/C65,"")</f>
        <v>11.3333333333333</v>
      </c>
      <c r="E65" s="3" t="n">
        <f aca="false">B65-C65</f>
        <v>24.8</v>
      </c>
    </row>
    <row r="66" customFormat="false" ht="15" hidden="false" customHeight="false" outlineLevel="0" collapsed="false">
      <c r="A66" s="2" t="s">
        <v>69</v>
      </c>
      <c r="B66" s="2" t="n">
        <v>27.2</v>
      </c>
      <c r="C66" s="2" t="n">
        <v>2.5</v>
      </c>
      <c r="D66" s="3" t="n">
        <f aca="false">IFERROR(B66/C66,"")</f>
        <v>10.88</v>
      </c>
      <c r="E66" s="3" t="n">
        <f aca="false">B66-C66</f>
        <v>24.7</v>
      </c>
    </row>
    <row r="67" customFormat="false" ht="15" hidden="false" customHeight="false" outlineLevel="0" collapsed="false">
      <c r="A67" s="2" t="s">
        <v>70</v>
      </c>
      <c r="B67" s="2" t="n">
        <v>27.2</v>
      </c>
      <c r="C67" s="2" t="n">
        <v>2.5</v>
      </c>
      <c r="D67" s="3" t="n">
        <f aca="false">IFERROR(B67/C67,"")</f>
        <v>10.88</v>
      </c>
      <c r="E67" s="3" t="n">
        <f aca="false">B67-C67</f>
        <v>24.7</v>
      </c>
    </row>
    <row r="68" customFormat="false" ht="15" hidden="false" customHeight="false" outlineLevel="0" collapsed="false">
      <c r="A68" s="2" t="s">
        <v>71</v>
      </c>
      <c r="B68" s="2" t="n">
        <v>27.9</v>
      </c>
      <c r="C68" s="2" t="n">
        <v>2.4</v>
      </c>
      <c r="D68" s="3" t="n">
        <f aca="false">IFERROR(B68/C68,"")</f>
        <v>11.625</v>
      </c>
      <c r="E68" s="3" t="n">
        <f aca="false">B68-C68</f>
        <v>25.5</v>
      </c>
    </row>
    <row r="69" customFormat="false" ht="15" hidden="false" customHeight="false" outlineLevel="0" collapsed="false">
      <c r="A69" s="2" t="s">
        <v>72</v>
      </c>
      <c r="B69" s="2" t="n">
        <v>27.7</v>
      </c>
      <c r="C69" s="2" t="n">
        <v>2.4</v>
      </c>
      <c r="D69" s="3" t="n">
        <f aca="false">IFERROR(B69/C69,"")</f>
        <v>11.5416666666667</v>
      </c>
      <c r="E69" s="3" t="n">
        <f aca="false">B69-C69</f>
        <v>25.3</v>
      </c>
    </row>
    <row r="70" customFormat="false" ht="15" hidden="false" customHeight="false" outlineLevel="0" collapsed="false">
      <c r="A70" s="2" t="s">
        <v>73</v>
      </c>
      <c r="B70" s="2" t="n">
        <v>27.8</v>
      </c>
      <c r="C70" s="2" t="n">
        <v>2.4</v>
      </c>
      <c r="D70" s="3" t="n">
        <f aca="false">IFERROR(B70/C70,"")</f>
        <v>11.5833333333333</v>
      </c>
      <c r="E70" s="3" t="n">
        <f aca="false">B70-C70</f>
        <v>25.4</v>
      </c>
    </row>
    <row r="71" customFormat="false" ht="15" hidden="false" customHeight="false" outlineLevel="0" collapsed="false">
      <c r="A71" s="2" t="s">
        <v>74</v>
      </c>
      <c r="B71" s="2" t="n">
        <v>28.2</v>
      </c>
      <c r="C71" s="2" t="n">
        <v>2.3</v>
      </c>
      <c r="D71" s="3" t="n">
        <f aca="false">IFERROR(B71/C71,"")</f>
        <v>12.2608695652174</v>
      </c>
      <c r="E71" s="3" t="n">
        <f aca="false">B71-C71</f>
        <v>25.9</v>
      </c>
    </row>
    <row r="72" customFormat="false" ht="15" hidden="false" customHeight="false" outlineLevel="0" collapsed="false">
      <c r="A72" s="2" t="s">
        <v>75</v>
      </c>
      <c r="B72" s="2" t="n">
        <v>28.5</v>
      </c>
      <c r="C72" s="2" t="n">
        <v>2.2</v>
      </c>
      <c r="D72" s="3" t="n">
        <f aca="false">IFERROR(B72/C72,"")</f>
        <v>12.9545454545455</v>
      </c>
      <c r="E72" s="3" t="n">
        <f aca="false">B72-C72</f>
        <v>26.3</v>
      </c>
    </row>
    <row r="73" customFormat="false" ht="15" hidden="false" customHeight="false" outlineLevel="0" collapsed="false">
      <c r="A73" s="2" t="s">
        <v>76</v>
      </c>
      <c r="B73" s="2" t="n">
        <v>28.7</v>
      </c>
      <c r="C73" s="2" t="n">
        <v>2.1</v>
      </c>
      <c r="D73" s="3" t="n">
        <f aca="false">IFERROR(B73/C73,"")</f>
        <v>13.6666666666667</v>
      </c>
      <c r="E73" s="3" t="n">
        <f aca="false">B73-C73</f>
        <v>26.6</v>
      </c>
    </row>
    <row r="74" customFormat="false" ht="15" hidden="false" customHeight="false" outlineLevel="0" collapsed="false">
      <c r="A74" s="2" t="s">
        <v>77</v>
      </c>
      <c r="B74" s="2" t="n">
        <v>29</v>
      </c>
      <c r="C74" s="2" t="n">
        <v>2</v>
      </c>
      <c r="D74" s="3" t="n">
        <f aca="false">IFERROR(B74/C74,"")</f>
        <v>14.5</v>
      </c>
      <c r="E74" s="3" t="n">
        <f aca="false">B74-C74</f>
        <v>27</v>
      </c>
    </row>
    <row r="75" customFormat="false" ht="15" hidden="false" customHeight="false" outlineLevel="0" collapsed="false">
      <c r="A75" s="2" t="s">
        <v>78</v>
      </c>
      <c r="B75" s="2" t="n">
        <v>29</v>
      </c>
      <c r="C75" s="2" t="n">
        <v>1.7</v>
      </c>
      <c r="D75" s="3" t="n">
        <f aca="false">IFERROR(B75/C75,"")</f>
        <v>17.0588235294118</v>
      </c>
      <c r="E75" s="3" t="n">
        <f aca="false">B75-C75</f>
        <v>27.3</v>
      </c>
    </row>
    <row r="76" customFormat="false" ht="15" hidden="false" customHeight="false" outlineLevel="0" collapsed="false">
      <c r="A76" s="2" t="s">
        <v>79</v>
      </c>
      <c r="B76" s="2" t="n">
        <v>28.9</v>
      </c>
      <c r="C76" s="2" t="n">
        <v>1.5</v>
      </c>
      <c r="D76" s="3" t="n">
        <f aca="false">IFERROR(B76/C76,"")</f>
        <v>19.2666666666667</v>
      </c>
      <c r="E76" s="3" t="n">
        <f aca="false">B76-C76</f>
        <v>27.4</v>
      </c>
    </row>
    <row r="77" customFormat="false" ht="15" hidden="false" customHeight="false" outlineLevel="0" collapsed="false">
      <c r="A77" s="2" t="s">
        <v>80</v>
      </c>
      <c r="B77" s="2" t="n">
        <v>28.8</v>
      </c>
      <c r="C77" s="2" t="n">
        <v>1.5</v>
      </c>
      <c r="D77" s="3" t="n">
        <f aca="false">IFERROR(B77/C77,"")</f>
        <v>19.2</v>
      </c>
      <c r="E77" s="3" t="n">
        <f aca="false">B77-C77</f>
        <v>27.3</v>
      </c>
    </row>
    <row r="78" customFormat="false" ht="15" hidden="false" customHeight="false" outlineLevel="0" collapsed="false">
      <c r="A78" s="2" t="s">
        <v>81</v>
      </c>
      <c r="B78" s="2" t="n">
        <v>28.4</v>
      </c>
      <c r="C78" s="2" t="n">
        <v>1.2</v>
      </c>
      <c r="D78" s="3" t="n">
        <f aca="false">IFERROR(B78/C78,"")</f>
        <v>23.6666666666667</v>
      </c>
      <c r="E78" s="3" t="n">
        <f aca="false">B78-C78</f>
        <v>27.2</v>
      </c>
    </row>
    <row r="79" customFormat="false" ht="15" hidden="false" customHeight="false" outlineLevel="0" collapsed="false">
      <c r="A79" s="2" t="s">
        <v>82</v>
      </c>
      <c r="B79" s="2" t="n">
        <v>27.6</v>
      </c>
      <c r="C79" s="2" t="n">
        <v>1</v>
      </c>
      <c r="D79" s="3" t="n">
        <f aca="false">IFERROR(B79/C79,"")</f>
        <v>27.6</v>
      </c>
      <c r="E79" s="3" t="n">
        <f aca="false">B79-C79</f>
        <v>26.6</v>
      </c>
    </row>
    <row r="80" customFormat="false" ht="15" hidden="false" customHeight="false" outlineLevel="0" collapsed="false">
      <c r="A80" s="2" t="s">
        <v>83</v>
      </c>
      <c r="B80" s="2" t="n">
        <v>27.2</v>
      </c>
      <c r="C80" s="2" t="n">
        <v>0.8</v>
      </c>
      <c r="D80" s="3" t="n">
        <f aca="false">IFERROR(B80/C80,"")</f>
        <v>34</v>
      </c>
      <c r="E80" s="3" t="n">
        <f aca="false">B80-C80</f>
        <v>26.4</v>
      </c>
    </row>
    <row r="81" customFormat="false" ht="15" hidden="false" customHeight="false" outlineLevel="0" collapsed="false">
      <c r="A81" s="2" t="s">
        <v>84</v>
      </c>
      <c r="B81" s="2" t="n">
        <v>27.4</v>
      </c>
      <c r="C81" s="2" t="n">
        <v>0.8</v>
      </c>
      <c r="D81" s="3" t="n">
        <f aca="false">IFERROR(B81/C81,"")</f>
        <v>34.25</v>
      </c>
      <c r="E81" s="3" t="n">
        <f aca="false">B81-C81</f>
        <v>26.6</v>
      </c>
    </row>
    <row r="82" customFormat="false" ht="15" hidden="false" customHeight="false" outlineLevel="0" collapsed="false">
      <c r="A82" s="2" t="s">
        <v>85</v>
      </c>
      <c r="B82" s="2" t="n">
        <v>27.9</v>
      </c>
      <c r="C82" s="2" t="n">
        <v>0.7</v>
      </c>
      <c r="D82" s="3" t="n">
        <f aca="false">IFERROR(B82/C82,"")</f>
        <v>39.8571428571429</v>
      </c>
      <c r="E82" s="3" t="n">
        <f aca="false">B82-C82</f>
        <v>27.2</v>
      </c>
    </row>
    <row r="83" customFormat="false" ht="15" hidden="false" customHeight="false" outlineLevel="0" collapsed="false">
      <c r="A83" s="2" t="s">
        <v>86</v>
      </c>
      <c r="B83" s="2" t="n">
        <v>27.9</v>
      </c>
      <c r="C83" s="2" t="n">
        <v>0.6</v>
      </c>
      <c r="D83" s="3" t="n">
        <f aca="false">IFERROR(B83/C83,"")</f>
        <v>46.5</v>
      </c>
      <c r="E83" s="3" t="n">
        <f aca="false">B83-C83</f>
        <v>27.3</v>
      </c>
    </row>
    <row r="84" customFormat="false" ht="15" hidden="false" customHeight="false" outlineLevel="0" collapsed="false">
      <c r="A84" s="2" t="s">
        <v>87</v>
      </c>
      <c r="B84" s="2" t="n">
        <v>28.2</v>
      </c>
      <c r="C84" s="2" t="n">
        <v>0.5</v>
      </c>
      <c r="D84" s="3" t="n">
        <f aca="false">IFERROR(B84/C84,"")</f>
        <v>56.4</v>
      </c>
      <c r="E84" s="3" t="n">
        <f aca="false">B84-C84</f>
        <v>27.7</v>
      </c>
    </row>
    <row r="85" customFormat="false" ht="15" hidden="false" customHeight="false" outlineLevel="0" collapsed="false">
      <c r="A85" s="2" t="s">
        <v>88</v>
      </c>
      <c r="B85" s="2" t="n">
        <v>28</v>
      </c>
      <c r="C85" s="2" t="n">
        <v>0.5</v>
      </c>
      <c r="D85" s="3" t="n">
        <f aca="false">IFERROR(B85/C85,"")</f>
        <v>56</v>
      </c>
      <c r="E85" s="3" t="n">
        <f aca="false">B85-C85</f>
        <v>27.5</v>
      </c>
    </row>
    <row r="86" customFormat="false" ht="15" hidden="false" customHeight="false" outlineLevel="0" collapsed="false">
      <c r="A86" s="2" t="s">
        <v>89</v>
      </c>
      <c r="B86" s="2" t="n">
        <v>28.4</v>
      </c>
      <c r="C86" s="2" t="n">
        <v>0.5</v>
      </c>
      <c r="D86" s="3" t="n">
        <f aca="false">IFERROR(B86/C86,"")</f>
        <v>56.8</v>
      </c>
      <c r="E86" s="3" t="n">
        <f aca="false">B86-C86</f>
        <v>27.9</v>
      </c>
    </row>
    <row r="87" customFormat="false" ht="15" hidden="false" customHeight="false" outlineLevel="0" collapsed="false">
      <c r="A87" s="2" t="s">
        <v>90</v>
      </c>
      <c r="B87" s="2" t="n">
        <v>28.8</v>
      </c>
      <c r="C87" s="2" t="n">
        <v>0.4</v>
      </c>
      <c r="D87" s="3" t="n">
        <f aca="false">IFERROR(B87/C87,"")</f>
        <v>72</v>
      </c>
      <c r="E87" s="3" t="n">
        <f aca="false">B87-C87</f>
        <v>28.4</v>
      </c>
    </row>
    <row r="88" customFormat="false" ht="15" hidden="false" customHeight="false" outlineLevel="0" collapsed="false">
      <c r="A88" s="2" t="s">
        <v>91</v>
      </c>
      <c r="B88" s="2" t="n">
        <v>29.1</v>
      </c>
      <c r="C88" s="2" t="n">
        <v>0.4</v>
      </c>
      <c r="D88" s="3" t="n">
        <f aca="false">IFERROR(B88/C88,"")</f>
        <v>72.75</v>
      </c>
      <c r="E88" s="3" t="n">
        <f aca="false">B88-C88</f>
        <v>28.7</v>
      </c>
    </row>
    <row r="89" customFormat="false" ht="15" hidden="false" customHeight="false" outlineLevel="0" collapsed="false">
      <c r="A89" s="2" t="s">
        <v>92</v>
      </c>
      <c r="B89" s="2" t="n">
        <v>29.2</v>
      </c>
      <c r="C89" s="2" t="n">
        <v>0.4</v>
      </c>
      <c r="D89" s="3" t="n">
        <f aca="false">IFERROR(B89/C89,"")</f>
        <v>73</v>
      </c>
      <c r="E89" s="3" t="n">
        <f aca="false">B89-C89</f>
        <v>28.8</v>
      </c>
    </row>
    <row r="90" customFormat="false" ht="15" hidden="false" customHeight="false" outlineLevel="0" collapsed="false">
      <c r="A90" s="2" t="s">
        <v>93</v>
      </c>
      <c r="B90" s="2" t="n">
        <v>28.8</v>
      </c>
      <c r="C90" s="2" t="n">
        <v>0.5</v>
      </c>
      <c r="D90" s="3" t="n">
        <f aca="false">IFERROR(B90/C90,"")</f>
        <v>57.6</v>
      </c>
      <c r="E90" s="3" t="n">
        <f aca="false">B90-C90</f>
        <v>28.3</v>
      </c>
    </row>
    <row r="91" customFormat="false" ht="15" hidden="false" customHeight="false" outlineLevel="0" collapsed="false">
      <c r="A91" s="2" t="s">
        <v>94</v>
      </c>
      <c r="B91" s="2" t="n">
        <v>29.1</v>
      </c>
      <c r="C91" s="2" t="n">
        <v>0.4</v>
      </c>
      <c r="D91" s="3" t="n">
        <f aca="false">IFERROR(B91/C91,"")</f>
        <v>72.75</v>
      </c>
      <c r="E91" s="3" t="n">
        <f aca="false">B91-C91</f>
        <v>28.7</v>
      </c>
    </row>
    <row r="92" customFormat="false" ht="15" hidden="false" customHeight="false" outlineLevel="0" collapsed="false">
      <c r="A92" s="2" t="s">
        <v>95</v>
      </c>
      <c r="B92" s="2" t="n">
        <v>29.5</v>
      </c>
      <c r="C92" s="2" t="n">
        <v>0.4</v>
      </c>
      <c r="D92" s="3" t="n">
        <f aca="false">IFERROR(B92/C92,"")</f>
        <v>73.75</v>
      </c>
      <c r="E92" s="3" t="n">
        <f aca="false">B92-C92</f>
        <v>29.1</v>
      </c>
    </row>
    <row r="93" customFormat="false" ht="15" hidden="false" customHeight="false" outlineLevel="0" collapsed="false">
      <c r="A93" s="2" t="s">
        <v>96</v>
      </c>
      <c r="B93" s="2" t="n">
        <v>29.5</v>
      </c>
      <c r="C93" s="2" t="n">
        <v>0.6</v>
      </c>
      <c r="D93" s="3" t="n">
        <f aca="false">IFERROR(B93/C93,"")</f>
        <v>49.1666666666667</v>
      </c>
      <c r="E93" s="3" t="n">
        <f aca="false">B93-C93</f>
        <v>28.9</v>
      </c>
    </row>
    <row r="94" customFormat="false" ht="15" hidden="false" customHeight="false" outlineLevel="0" collapsed="false">
      <c r="A94" s="2" t="s">
        <v>97</v>
      </c>
      <c r="B94" s="2" t="n">
        <v>29.7</v>
      </c>
      <c r="C94" s="2" t="n">
        <v>0.6</v>
      </c>
      <c r="D94" s="3" t="n">
        <f aca="false">IFERROR(B94/C94,"")</f>
        <v>49.5</v>
      </c>
      <c r="E94" s="3" t="n">
        <f aca="false">B94-C94</f>
        <v>29.1</v>
      </c>
    </row>
    <row r="95" customFormat="false" ht="15" hidden="false" customHeight="false" outlineLevel="0" collapsed="false">
      <c r="A95" s="2" t="s">
        <v>98</v>
      </c>
      <c r="B95" s="2" t="n">
        <v>29.3</v>
      </c>
      <c r="C95" s="2" t="n">
        <v>0.7</v>
      </c>
      <c r="D95" s="3" t="n">
        <f aca="false">IFERROR(B95/C95,"")</f>
        <v>41.8571428571429</v>
      </c>
      <c r="E95" s="3" t="n">
        <f aca="false">B95-C95</f>
        <v>28.6</v>
      </c>
    </row>
    <row r="96" customFormat="false" ht="15" hidden="false" customHeight="false" outlineLevel="0" collapsed="false">
      <c r="A96" s="2" t="s">
        <v>99</v>
      </c>
      <c r="B96" s="2" t="n">
        <v>29.5</v>
      </c>
      <c r="C96" s="2" t="n">
        <v>0.7</v>
      </c>
      <c r="D96" s="3" t="n">
        <f aca="false">IFERROR(B96/C96,"")</f>
        <v>42.1428571428571</v>
      </c>
      <c r="E96" s="3" t="n">
        <f aca="false">B96-C96</f>
        <v>28.8</v>
      </c>
    </row>
    <row r="97" customFormat="false" ht="15" hidden="false" customHeight="false" outlineLevel="0" collapsed="false">
      <c r="A97" s="2" t="s">
        <v>100</v>
      </c>
      <c r="B97" s="2" t="n">
        <v>29.4</v>
      </c>
      <c r="C97" s="2" t="n">
        <v>0.8</v>
      </c>
      <c r="D97" s="3" t="n">
        <f aca="false">IFERROR(B97/C97,"")</f>
        <v>36.75</v>
      </c>
      <c r="E97" s="3" t="n">
        <f aca="false">B97-C97</f>
        <v>28.6</v>
      </c>
    </row>
    <row r="98" customFormat="false" ht="15" hidden="false" customHeight="false" outlineLevel="0" collapsed="false">
      <c r="A98" s="2" t="s">
        <v>101</v>
      </c>
      <c r="B98" s="2" t="n">
        <v>29.4</v>
      </c>
      <c r="C98" s="2" t="n">
        <v>0.9</v>
      </c>
      <c r="D98" s="3" t="n">
        <f aca="false">IFERROR(B98/C98,"")</f>
        <v>32.6666666666667</v>
      </c>
      <c r="E98" s="3" t="n">
        <f aca="false">B98-C98</f>
        <v>28.5</v>
      </c>
    </row>
    <row r="99" customFormat="false" ht="15" hidden="false" customHeight="false" outlineLevel="0" collapsed="false">
      <c r="A99" s="2" t="s">
        <v>102</v>
      </c>
      <c r="B99" s="2" t="n">
        <v>29.6</v>
      </c>
      <c r="C99" s="2" t="n">
        <v>0.9</v>
      </c>
      <c r="D99" s="3" t="n">
        <f aca="false">IFERROR(B99/C99,"")</f>
        <v>32.8888888888889</v>
      </c>
      <c r="E99" s="3" t="n">
        <f aca="false">B99-C99</f>
        <v>28.7</v>
      </c>
    </row>
    <row r="100" customFormat="false" ht="15" hidden="false" customHeight="false" outlineLevel="0" collapsed="false">
      <c r="A100" s="2" t="s">
        <v>103</v>
      </c>
      <c r="B100" s="2" t="n">
        <v>29.9</v>
      </c>
      <c r="C100" s="2" t="n">
        <v>0.9</v>
      </c>
      <c r="D100" s="3" t="n">
        <f aca="false">IFERROR(B100/C100,"")</f>
        <v>33.2222222222222</v>
      </c>
      <c r="E100" s="3" t="n">
        <f aca="false">B100-C100</f>
        <v>29</v>
      </c>
    </row>
    <row r="101" customFormat="false" ht="15" hidden="false" customHeight="false" outlineLevel="0" collapsed="false">
      <c r="A101" s="2" t="s">
        <v>104</v>
      </c>
      <c r="B101" s="2" t="n">
        <v>30.2</v>
      </c>
      <c r="C101" s="2" t="n">
        <v>1</v>
      </c>
      <c r="D101" s="3" t="n">
        <f aca="false">IFERROR(B101/C101,"")</f>
        <v>30.2</v>
      </c>
      <c r="E101" s="3" t="n">
        <f aca="false">B101-C101</f>
        <v>29.2</v>
      </c>
    </row>
    <row r="102" customFormat="false" ht="15" hidden="false" customHeight="false" outlineLevel="0" collapsed="false">
      <c r="A102" s="2" t="s">
        <v>105</v>
      </c>
      <c r="B102" s="2" t="n">
        <v>30.2</v>
      </c>
      <c r="C102" s="2" t="n">
        <v>1.1</v>
      </c>
      <c r="D102" s="3" t="n">
        <f aca="false">IFERROR(B102/C102,"")</f>
        <v>27.4545454545455</v>
      </c>
      <c r="E102" s="3" t="n">
        <f aca="false">B102-C102</f>
        <v>29.1</v>
      </c>
    </row>
    <row r="103" customFormat="false" ht="15" hidden="false" customHeight="false" outlineLevel="0" collapsed="false">
      <c r="A103" s="2" t="s">
        <v>106</v>
      </c>
      <c r="B103" s="2" t="n">
        <v>30.4</v>
      </c>
      <c r="C103" s="2" t="n">
        <v>1</v>
      </c>
      <c r="D103" s="3" t="n">
        <f aca="false">IFERROR(B103/C103,"")</f>
        <v>30.4</v>
      </c>
      <c r="E103" s="3" t="n">
        <f aca="false">B103-C103</f>
        <v>29.4</v>
      </c>
    </row>
    <row r="104" customFormat="false" ht="15" hidden="false" customHeight="false" outlineLevel="0" collapsed="false">
      <c r="A104" s="2" t="s">
        <v>107</v>
      </c>
      <c r="B104" s="2" t="n">
        <v>30.5</v>
      </c>
      <c r="C104" s="2" t="n">
        <v>1.1</v>
      </c>
      <c r="D104" s="3" t="n">
        <f aca="false">IFERROR(B104/C104,"")</f>
        <v>27.7272727272727</v>
      </c>
      <c r="E104" s="3" t="n">
        <f aca="false">B104-C104</f>
        <v>29.4</v>
      </c>
    </row>
    <row r="105" customFormat="false" ht="15" hidden="false" customHeight="false" outlineLevel="0" collapsed="false">
      <c r="A105" s="2" t="s">
        <v>108</v>
      </c>
      <c r="B105" s="2" t="n">
        <v>30.6</v>
      </c>
      <c r="C105" s="2" t="n">
        <v>1.1</v>
      </c>
      <c r="D105" s="3" t="n">
        <f aca="false">IFERROR(B105/C105,"")</f>
        <v>27.8181818181818</v>
      </c>
      <c r="E105" s="3" t="n">
        <f aca="false">B105-C105</f>
        <v>29.5</v>
      </c>
    </row>
    <row r="106" customFormat="false" ht="15" hidden="false" customHeight="false" outlineLevel="0" collapsed="false">
      <c r="A106" s="2" t="s">
        <v>109</v>
      </c>
      <c r="B106" s="2" t="n">
        <v>30.3</v>
      </c>
      <c r="C106" s="2" t="n">
        <v>1.1</v>
      </c>
      <c r="D106" s="3" t="n">
        <f aca="false">IFERROR(B106/C106,"")</f>
        <v>27.5454545454545</v>
      </c>
      <c r="E106" s="3" t="n">
        <f aca="false">B106-C106</f>
        <v>29.2</v>
      </c>
    </row>
    <row r="107" customFormat="false" ht="15" hidden="false" customHeight="false" outlineLevel="0" collapsed="false">
      <c r="A107" s="2" t="s">
        <v>110</v>
      </c>
      <c r="B107" s="2" t="n">
        <v>30.3</v>
      </c>
      <c r="C107" s="2" t="n">
        <v>1.2</v>
      </c>
      <c r="D107" s="3" t="n">
        <f aca="false">IFERROR(B107/C107,"")</f>
        <v>25.25</v>
      </c>
      <c r="E107" s="3" t="n">
        <f aca="false">B107-C107</f>
        <v>29.1</v>
      </c>
    </row>
    <row r="108" customFormat="false" ht="15" hidden="false" customHeight="false" outlineLevel="0" collapsed="false">
      <c r="A108" s="2" t="s">
        <v>111</v>
      </c>
      <c r="B108" s="2" t="n">
        <v>30.4</v>
      </c>
      <c r="C108" s="2" t="n">
        <v>1.2</v>
      </c>
      <c r="D108" s="3" t="n">
        <f aca="false">IFERROR(B108/C108,"")</f>
        <v>25.3333333333333</v>
      </c>
      <c r="E108" s="3" t="n">
        <f aca="false">B108-C108</f>
        <v>29.2</v>
      </c>
    </row>
    <row r="109" customFormat="false" ht="15" hidden="false" customHeight="false" outlineLevel="0" collapsed="false">
      <c r="A109" s="2" t="s">
        <v>112</v>
      </c>
      <c r="B109" s="2" t="n">
        <v>30.6</v>
      </c>
      <c r="C109" s="2" t="n">
        <v>1.2</v>
      </c>
      <c r="D109" s="3" t="n">
        <f aca="false">IFERROR(B109/C109,"")</f>
        <v>25.5</v>
      </c>
      <c r="E109" s="3" t="n">
        <f aca="false">B109-C109</f>
        <v>29.4</v>
      </c>
    </row>
    <row r="110" customFormat="false" ht="15" hidden="false" customHeight="false" outlineLevel="0" collapsed="false">
      <c r="A110" s="2" t="s">
        <v>113</v>
      </c>
      <c r="B110" s="2" t="n">
        <v>30.7</v>
      </c>
      <c r="C110" s="2" t="n">
        <v>1.3</v>
      </c>
      <c r="D110" s="3" t="n">
        <f aca="false">IFERROR(B110/C110,"")</f>
        <v>23.6153846153846</v>
      </c>
      <c r="E110" s="3" t="n">
        <f aca="false">B110-C110</f>
        <v>29.4</v>
      </c>
    </row>
    <row r="111" customFormat="false" ht="15" hidden="false" customHeight="false" outlineLevel="0" collapsed="false">
      <c r="A111" s="2" t="s">
        <v>114</v>
      </c>
      <c r="B111" s="2" t="n">
        <v>30.5</v>
      </c>
      <c r="C111" s="2" t="n">
        <v>1.3</v>
      </c>
      <c r="D111" s="3" t="n">
        <f aca="false">IFERROR(B111/C111,"")</f>
        <v>23.4615384615385</v>
      </c>
      <c r="E111" s="3" t="n">
        <f aca="false">B111-C111</f>
        <v>29.2</v>
      </c>
    </row>
    <row r="112" customFormat="false" ht="15" hidden="false" customHeight="false" outlineLevel="0" collapsed="false">
      <c r="A112" s="2" t="s">
        <v>115</v>
      </c>
      <c r="B112" s="2" t="n">
        <v>30.5</v>
      </c>
      <c r="C112" s="2" t="n">
        <v>1.3</v>
      </c>
      <c r="D112" s="3" t="n">
        <f aca="false">IFERROR(B112/C112,"")</f>
        <v>23.4615384615385</v>
      </c>
      <c r="E112" s="3" t="n">
        <f aca="false">B112-C112</f>
        <v>29.2</v>
      </c>
    </row>
    <row r="113" customFormat="false" ht="15" hidden="false" customHeight="false" outlineLevel="0" collapsed="false">
      <c r="A113" s="2" t="s">
        <v>116</v>
      </c>
      <c r="B113" s="2" t="n">
        <v>30.6</v>
      </c>
      <c r="C113" s="2" t="n">
        <v>1.4</v>
      </c>
      <c r="D113" s="3" t="n">
        <f aca="false">IFERROR(B113/C113,"")</f>
        <v>21.8571428571429</v>
      </c>
      <c r="E113" s="3" t="n">
        <f aca="false">B113-C113</f>
        <v>29.2</v>
      </c>
    </row>
    <row r="114" customFormat="false" ht="15" hidden="false" customHeight="false" outlineLevel="0" collapsed="false">
      <c r="A114" s="2" t="s">
        <v>117</v>
      </c>
      <c r="B114" s="2" t="n">
        <v>30.5</v>
      </c>
      <c r="C114" s="2" t="n">
        <v>1.4</v>
      </c>
      <c r="D114" s="3" t="n">
        <f aca="false">IFERROR(B114/C114,"")</f>
        <v>21.7857142857143</v>
      </c>
      <c r="E114" s="3" t="n">
        <f aca="false">B114-C114</f>
        <v>29.1</v>
      </c>
    </row>
    <row r="115" customFormat="false" ht="15" hidden="false" customHeight="false" outlineLevel="0" collapsed="false">
      <c r="A115" s="2" t="s">
        <v>118</v>
      </c>
      <c r="B115" s="2" t="n">
        <v>30.6</v>
      </c>
      <c r="C115" s="2" t="n">
        <v>1.4</v>
      </c>
      <c r="D115" s="3" t="n">
        <f aca="false">IFERROR(B115/C115,"")</f>
        <v>21.8571428571429</v>
      </c>
      <c r="E115" s="3" t="n">
        <f aca="false">B115-C115</f>
        <v>29.2</v>
      </c>
    </row>
    <row r="116" customFormat="false" ht="15" hidden="false" customHeight="false" outlineLevel="0" collapsed="false">
      <c r="A116" s="2" t="s">
        <v>119</v>
      </c>
      <c r="B116" s="2" t="n">
        <v>30.4</v>
      </c>
      <c r="C116" s="2" t="n">
        <v>1.5</v>
      </c>
      <c r="D116" s="3" t="n">
        <f aca="false">IFERROR(B116/C116,"")</f>
        <v>20.2666666666667</v>
      </c>
      <c r="E116" s="3" t="n">
        <f aca="false">B116-C116</f>
        <v>28.9</v>
      </c>
    </row>
    <row r="117" customFormat="false" ht="15" hidden="false" customHeight="false" outlineLevel="0" collapsed="false">
      <c r="A117" s="2" t="s">
        <v>120</v>
      </c>
      <c r="B117" s="2" t="n">
        <v>30.3</v>
      </c>
      <c r="C117" s="2" t="n">
        <v>1.6</v>
      </c>
      <c r="D117" s="3" t="n">
        <f aca="false">IFERROR(B117/C117,"")</f>
        <v>18.9375</v>
      </c>
      <c r="E117" s="3" t="n">
        <f aca="false">B117-C117</f>
        <v>28.7</v>
      </c>
    </row>
    <row r="118" customFormat="false" ht="15" hidden="false" customHeight="false" outlineLevel="0" collapsed="false">
      <c r="A118" s="2" t="s">
        <v>121</v>
      </c>
      <c r="B118" s="2" t="n">
        <v>30.5</v>
      </c>
      <c r="C118" s="2" t="n">
        <v>1.6</v>
      </c>
      <c r="D118" s="3" t="n">
        <f aca="false">IFERROR(B118/C118,"")</f>
        <v>19.0625</v>
      </c>
      <c r="E118" s="3" t="n">
        <f aca="false">B118-C118</f>
        <v>28.9</v>
      </c>
    </row>
    <row r="119" customFormat="false" ht="15" hidden="false" customHeight="false" outlineLevel="0" collapsed="false">
      <c r="A119" s="2" t="s">
        <v>122</v>
      </c>
      <c r="B119" s="2" t="n">
        <v>29.8</v>
      </c>
      <c r="C119" s="2" t="n">
        <v>1.6</v>
      </c>
      <c r="D119" s="3" t="n">
        <f aca="false">IFERROR(B119/C119,"")</f>
        <v>18.625</v>
      </c>
      <c r="E119" s="3" t="n">
        <f aca="false">B119-C119</f>
        <v>28.2</v>
      </c>
    </row>
    <row r="120" customFormat="false" ht="15" hidden="false" customHeight="false" outlineLevel="0" collapsed="false">
      <c r="A120" s="2" t="s">
        <v>123</v>
      </c>
      <c r="B120" s="2" t="n">
        <v>30.4</v>
      </c>
      <c r="C120" s="2" t="n">
        <v>1.6</v>
      </c>
      <c r="D120" s="3" t="n">
        <f aca="false">IFERROR(B120/C120,"")</f>
        <v>19</v>
      </c>
      <c r="E120" s="3" t="n">
        <f aca="false">B120-C120</f>
        <v>28.8</v>
      </c>
    </row>
    <row r="121" customFormat="false" ht="15" hidden="false" customHeight="false" outlineLevel="0" collapsed="false">
      <c r="A121" s="2" t="s">
        <v>124</v>
      </c>
      <c r="B121" s="2" t="n">
        <v>30.2</v>
      </c>
      <c r="C121" s="2" t="n">
        <v>1.6</v>
      </c>
      <c r="D121" s="3" t="n">
        <f aca="false">IFERROR(B121/C121,"")</f>
        <v>18.875</v>
      </c>
      <c r="E121" s="3" t="n">
        <f aca="false">B121-C121</f>
        <v>28.6</v>
      </c>
    </row>
    <row r="122" customFormat="false" ht="15" hidden="false" customHeight="false" outlineLevel="0" collapsed="false">
      <c r="A122" s="2" t="s">
        <v>125</v>
      </c>
      <c r="B122" s="2" t="n">
        <v>30.1</v>
      </c>
      <c r="C122" s="2" t="n">
        <v>1.7</v>
      </c>
      <c r="D122" s="3" t="n">
        <f aca="false">IFERROR(B122/C122,"")</f>
        <v>17.7058823529412</v>
      </c>
      <c r="E122" s="3" t="n">
        <f aca="false">B122-C122</f>
        <v>28.4</v>
      </c>
    </row>
    <row r="123" customFormat="false" ht="15" hidden="false" customHeight="false" outlineLevel="0" collapsed="false">
      <c r="A123" s="2" t="s">
        <v>126</v>
      </c>
      <c r="B123" s="2" t="n">
        <v>30.4</v>
      </c>
      <c r="C123" s="2" t="n">
        <v>1.7</v>
      </c>
      <c r="D123" s="3" t="n">
        <f aca="false">IFERROR(B123/C123,"")</f>
        <v>17.8823529411765</v>
      </c>
      <c r="E123" s="3" t="n">
        <f aca="false">B123-C123</f>
        <v>28.7</v>
      </c>
    </row>
    <row r="124" customFormat="false" ht="15" hidden="false" customHeight="false" outlineLevel="0" collapsed="false">
      <c r="A124" s="2" t="s">
        <v>127</v>
      </c>
      <c r="B124" s="2" t="n">
        <v>29</v>
      </c>
      <c r="C124" s="2" t="n">
        <v>1.9</v>
      </c>
      <c r="D124" s="3" t="n">
        <f aca="false">IFERROR(B124/C124,"")</f>
        <v>15.2631578947368</v>
      </c>
      <c r="E124" s="3" t="n">
        <f aca="false">B124-C124</f>
        <v>27.1</v>
      </c>
    </row>
    <row r="125" customFormat="false" ht="15" hidden="false" customHeight="false" outlineLevel="0" collapsed="false">
      <c r="A125" s="2" t="s">
        <v>128</v>
      </c>
      <c r="B125" s="2" t="n">
        <v>29.6</v>
      </c>
      <c r="C125" s="2" t="n">
        <v>2</v>
      </c>
      <c r="D125" s="3" t="n">
        <f aca="false">IFERROR(B125/C125,"")</f>
        <v>14.8</v>
      </c>
      <c r="E125" s="3" t="n">
        <f aca="false">B125-C125</f>
        <v>27.6</v>
      </c>
    </row>
    <row r="126" customFormat="false" ht="15" hidden="false" customHeight="false" outlineLevel="0" collapsed="false">
      <c r="A126" s="2" t="s">
        <v>129</v>
      </c>
      <c r="B126" s="2" t="n">
        <v>29.8</v>
      </c>
      <c r="C126" s="2" t="n">
        <v>2.1</v>
      </c>
      <c r="D126" s="3" t="n">
        <f aca="false">IFERROR(B126/C126,"")</f>
        <v>14.1904761904762</v>
      </c>
      <c r="E126" s="3" t="n">
        <f aca="false">B126-C126</f>
        <v>27.7</v>
      </c>
    </row>
    <row r="127" customFormat="false" ht="15" hidden="false" customHeight="false" outlineLevel="0" collapsed="false">
      <c r="A127" s="2" t="s">
        <v>130</v>
      </c>
      <c r="B127" s="2" t="n">
        <v>30.4</v>
      </c>
      <c r="C127" s="2" t="n">
        <v>2.2</v>
      </c>
      <c r="D127" s="3" t="n">
        <f aca="false">IFERROR(B127/C127,"")</f>
        <v>13.8181818181818</v>
      </c>
      <c r="E127" s="3" t="n">
        <f aca="false">B127-C127</f>
        <v>28.2</v>
      </c>
    </row>
    <row r="128" customFormat="false" ht="15" hidden="false" customHeight="false" outlineLevel="0" collapsed="false">
      <c r="A128" s="2" t="s">
        <v>131</v>
      </c>
      <c r="B128" s="2" t="n">
        <v>30.5</v>
      </c>
      <c r="C128" s="2" t="n">
        <v>2.3</v>
      </c>
      <c r="D128" s="3" t="n">
        <f aca="false">IFERROR(B128/C128,"")</f>
        <v>13.2608695652174</v>
      </c>
      <c r="E128" s="3" t="n">
        <f aca="false">B128-C128</f>
        <v>28.2</v>
      </c>
    </row>
    <row r="129" customFormat="false" ht="15" hidden="false" customHeight="false" outlineLevel="0" collapsed="false">
      <c r="A129" s="2" t="s">
        <v>132</v>
      </c>
      <c r="B129" s="2" t="n">
        <v>30.7</v>
      </c>
      <c r="C129" s="2" t="n">
        <v>2.4</v>
      </c>
      <c r="D129" s="3" t="n">
        <f aca="false">IFERROR(B129/C129,"")</f>
        <v>12.7916666666667</v>
      </c>
      <c r="E129" s="3" t="n">
        <f aca="false">B129-C129</f>
        <v>28.3</v>
      </c>
    </row>
    <row r="130" customFormat="false" ht="15" hidden="false" customHeight="false" outlineLevel="0" collapsed="false">
      <c r="A130" s="2" t="s">
        <v>133</v>
      </c>
      <c r="B130" s="2" t="n">
        <v>30.7</v>
      </c>
      <c r="C130" s="2" t="n">
        <v>2.4</v>
      </c>
      <c r="D130" s="3" t="n">
        <f aca="false">IFERROR(B130/C130,"")</f>
        <v>12.7916666666667</v>
      </c>
      <c r="E130" s="3" t="n">
        <f aca="false">B130-C130</f>
        <v>28.3</v>
      </c>
    </row>
    <row r="131" customFormat="false" ht="15" hidden="false" customHeight="false" outlineLevel="0" collapsed="false">
      <c r="A131" s="2" t="s">
        <v>134</v>
      </c>
      <c r="B131" s="2" t="n">
        <v>30.9</v>
      </c>
      <c r="C131" s="2" t="n">
        <v>2.4</v>
      </c>
      <c r="D131" s="3" t="n">
        <f aca="false">IFERROR(B131/C131,"")</f>
        <v>12.875</v>
      </c>
      <c r="E131" s="3" t="n">
        <f aca="false">B131-C131</f>
        <v>28.5</v>
      </c>
    </row>
    <row r="132" customFormat="false" ht="15" hidden="false" customHeight="false" outlineLevel="0" collapsed="false">
      <c r="A132" s="2" t="s">
        <v>135</v>
      </c>
      <c r="B132" s="2" t="n">
        <v>30.4</v>
      </c>
      <c r="C132" s="2" t="n">
        <v>2.6</v>
      </c>
      <c r="D132" s="3" t="n">
        <f aca="false">IFERROR(B132/C132,"")</f>
        <v>11.6923076923077</v>
      </c>
      <c r="E132" s="3" t="n">
        <f aca="false">B132-C132</f>
        <v>27.8</v>
      </c>
    </row>
    <row r="133" customFormat="false" ht="15" hidden="false" customHeight="false" outlineLevel="0" collapsed="false">
      <c r="A133" s="2" t="s">
        <v>136</v>
      </c>
      <c r="B133" s="2" t="n">
        <v>29.4</v>
      </c>
      <c r="C133" s="2" t="n">
        <v>2.7</v>
      </c>
      <c r="D133" s="3" t="n">
        <f aca="false">IFERROR(B133/C133,"")</f>
        <v>10.8888888888889</v>
      </c>
      <c r="E133" s="3" t="n">
        <f aca="false">B133-C133</f>
        <v>26.7</v>
      </c>
    </row>
    <row r="134" customFormat="false" ht="15" hidden="false" customHeight="false" outlineLevel="0" collapsed="false">
      <c r="A134" s="2" t="s">
        <v>137</v>
      </c>
      <c r="B134" s="2" t="n">
        <v>29.3</v>
      </c>
      <c r="C134" s="2" t="n">
        <v>2.7</v>
      </c>
      <c r="D134" s="3" t="n">
        <f aca="false">IFERROR(B134/C134,"")</f>
        <v>10.8518518518519</v>
      </c>
      <c r="E134" s="3" t="n">
        <f aca="false">B134-C134</f>
        <v>26.6</v>
      </c>
    </row>
    <row r="135" customFormat="false" ht="15" hidden="false" customHeight="false" outlineLevel="0" collapsed="false">
      <c r="A135" s="2" t="s">
        <v>138</v>
      </c>
      <c r="B135" s="2" t="n">
        <v>29.7</v>
      </c>
      <c r="C135" s="2" t="n">
        <v>2.6</v>
      </c>
      <c r="D135" s="3" t="n">
        <f aca="false">IFERROR(B135/C135,"")</f>
        <v>11.4230769230769</v>
      </c>
      <c r="E135" s="3" t="n">
        <f aca="false">B135-C135</f>
        <v>27.1</v>
      </c>
    </row>
    <row r="136" customFormat="false" ht="15" hidden="false" customHeight="false" outlineLevel="0" collapsed="false">
      <c r="A136" s="2" t="s">
        <v>139</v>
      </c>
      <c r="B136" s="2" t="n">
        <v>30</v>
      </c>
      <c r="C136" s="2" t="n">
        <v>2.6</v>
      </c>
      <c r="D136" s="3" t="n">
        <f aca="false">IFERROR(B136/C136,"")</f>
        <v>11.5384615384615</v>
      </c>
      <c r="E136" s="3" t="n">
        <f aca="false">B136-C136</f>
        <v>27.4</v>
      </c>
    </row>
    <row r="137" customFormat="false" ht="15" hidden="false" customHeight="false" outlineLevel="0" collapsed="false">
      <c r="A137" s="2" t="s">
        <v>140</v>
      </c>
      <c r="B137" s="2" t="n">
        <v>30</v>
      </c>
      <c r="C137" s="2" t="n">
        <v>2.6</v>
      </c>
      <c r="D137" s="3" t="n">
        <f aca="false">IFERROR(B137/C137,"")</f>
        <v>11.5384615384615</v>
      </c>
      <c r="E137" s="3" t="n">
        <f aca="false">B137-C137</f>
        <v>27.4</v>
      </c>
    </row>
    <row r="138" customFormat="false" ht="15" hidden="false" customHeight="false" outlineLevel="0" collapsed="false">
      <c r="A138" s="2" t="s">
        <v>141</v>
      </c>
      <c r="B138" s="2" t="n">
        <v>29.8</v>
      </c>
      <c r="C138" s="2" t="n">
        <v>2.6</v>
      </c>
      <c r="D138" s="3" t="n">
        <f aca="false">IFERROR(B138/C138,"")</f>
        <v>11.4615384615385</v>
      </c>
      <c r="E138" s="3" t="n">
        <f aca="false">B138-C138</f>
        <v>27.2</v>
      </c>
    </row>
    <row r="139" customFormat="false" ht="15" hidden="false" customHeight="false" outlineLevel="0" collapsed="false">
      <c r="A139" s="2" t="s">
        <v>142</v>
      </c>
      <c r="B139" s="2" t="n">
        <v>30.2</v>
      </c>
      <c r="C139" s="2" t="n">
        <v>2.5</v>
      </c>
      <c r="D139" s="3" t="n">
        <f aca="false">IFERROR(B139/C139,"")</f>
        <v>12.08</v>
      </c>
      <c r="E139" s="3" t="n">
        <f aca="false">B139-C139</f>
        <v>27.7</v>
      </c>
    </row>
    <row r="140" customFormat="false" ht="15" hidden="false" customHeight="false" outlineLevel="0" collapsed="false">
      <c r="A140" s="2" t="s">
        <v>143</v>
      </c>
      <c r="B140" s="2" t="n">
        <v>30.4</v>
      </c>
      <c r="C140" s="2" t="n">
        <v>2.5</v>
      </c>
      <c r="D140" s="3" t="n">
        <f aca="false">IFERROR(B140/C140,"")</f>
        <v>12.16</v>
      </c>
      <c r="E140" s="3" t="n">
        <f aca="false">B140-C140</f>
        <v>27.9</v>
      </c>
    </row>
    <row r="141" customFormat="false" ht="15" hidden="false" customHeight="false" outlineLevel="0" collapsed="false">
      <c r="A141" s="2" t="s">
        <v>144</v>
      </c>
      <c r="B141" s="2" t="n">
        <v>30.4</v>
      </c>
      <c r="C141" s="2" t="n">
        <v>2.5</v>
      </c>
      <c r="D141" s="3" t="n">
        <f aca="false">IFERROR(B141/C141,"")</f>
        <v>12.16</v>
      </c>
      <c r="E141" s="3" t="n">
        <f aca="false">B141-C141</f>
        <v>27.9</v>
      </c>
    </row>
    <row r="142" customFormat="false" ht="15" hidden="false" customHeight="false" outlineLevel="0" collapsed="false">
      <c r="A142" s="2" t="s">
        <v>145</v>
      </c>
      <c r="B142" s="2" t="n">
        <v>30.7</v>
      </c>
      <c r="C142" s="2" t="n">
        <v>2.4</v>
      </c>
      <c r="D142" s="3" t="n">
        <f aca="false">IFERROR(B142/C142,"")</f>
        <v>12.7916666666667</v>
      </c>
      <c r="E142" s="3" t="n">
        <f aca="false">B142-C142</f>
        <v>28.3</v>
      </c>
    </row>
    <row r="143" customFormat="false" ht="15" hidden="false" customHeight="false" outlineLevel="0" collapsed="false">
      <c r="A143" s="2" t="s">
        <v>146</v>
      </c>
      <c r="B143" s="2" t="n">
        <v>30.9</v>
      </c>
      <c r="C143" s="2" t="n">
        <v>2.4</v>
      </c>
      <c r="D143" s="3" t="n">
        <f aca="false">IFERROR(B143/C143,"")</f>
        <v>12.875</v>
      </c>
      <c r="E143" s="3" t="n">
        <f aca="false">B143-C143</f>
        <v>28.5</v>
      </c>
    </row>
    <row r="144" customFormat="false" ht="15" hidden="false" customHeight="false" outlineLevel="0" collapsed="false">
      <c r="A144" s="2" t="s">
        <v>147</v>
      </c>
      <c r="B144" s="2" t="n">
        <v>30.8</v>
      </c>
      <c r="C144" s="2" t="n">
        <v>2.4</v>
      </c>
      <c r="D144" s="3" t="n">
        <f aca="false">IFERROR(B144/C144,"")</f>
        <v>12.8333333333333</v>
      </c>
      <c r="E144" s="3" t="n">
        <f aca="false">B144-C144</f>
        <v>28.4</v>
      </c>
    </row>
    <row r="145" customFormat="false" ht="15" hidden="false" customHeight="false" outlineLevel="0" collapsed="false">
      <c r="A145" s="2" t="s">
        <v>148</v>
      </c>
      <c r="B145" s="2" t="n">
        <v>31.1</v>
      </c>
      <c r="C145" s="2" t="n">
        <v>2.4</v>
      </c>
      <c r="D145" s="3" t="n">
        <f aca="false">IFERROR(B145/C145,"")</f>
        <v>12.9583333333333</v>
      </c>
      <c r="E145" s="3" t="n">
        <f aca="false">B145-C145</f>
        <v>28.7</v>
      </c>
    </row>
    <row r="146" customFormat="false" ht="15" hidden="false" customHeight="false" outlineLevel="0" collapsed="false">
      <c r="A146" s="2" t="s">
        <v>149</v>
      </c>
      <c r="B146" s="2" t="n">
        <v>31.5</v>
      </c>
      <c r="C146" s="2" t="n">
        <v>2.4</v>
      </c>
      <c r="D146" s="3" t="n">
        <f aca="false">IFERROR(B146/C146,"")</f>
        <v>13.125</v>
      </c>
      <c r="E146" s="3" t="n">
        <f aca="false">B146-C146</f>
        <v>29.1</v>
      </c>
    </row>
    <row r="147" customFormat="false" ht="15" hidden="false" customHeight="false" outlineLevel="0" collapsed="false">
      <c r="A147" s="2" t="s">
        <v>150</v>
      </c>
      <c r="B147" s="2" t="n">
        <v>31.8</v>
      </c>
      <c r="C147" s="2" t="n">
        <v>2.4</v>
      </c>
      <c r="D147" s="3" t="n">
        <f aca="false">IFERROR(B147/C147,"")</f>
        <v>13.25</v>
      </c>
      <c r="E147" s="3" t="n">
        <f aca="false">B147-C147</f>
        <v>29.4</v>
      </c>
    </row>
    <row r="148" customFormat="false" ht="15" hidden="false" customHeight="false" outlineLevel="0" collapsed="false">
      <c r="A148" s="2" t="s">
        <v>151</v>
      </c>
      <c r="B148" s="2" t="n">
        <v>31.7</v>
      </c>
      <c r="C148" s="2" t="n">
        <v>2.4</v>
      </c>
      <c r="D148" s="3" t="n">
        <f aca="false">IFERROR(B148/C148,"")</f>
        <v>13.2083333333333</v>
      </c>
      <c r="E148" s="3" t="n">
        <f aca="false">B148-C148</f>
        <v>29.3</v>
      </c>
    </row>
    <row r="149" customFormat="false" ht="15" hidden="false" customHeight="false" outlineLevel="0" collapsed="false">
      <c r="A149" s="2" t="s">
        <v>152</v>
      </c>
      <c r="B149" s="2" t="n">
        <v>32.5</v>
      </c>
      <c r="C149" s="2" t="n">
        <v>2.3</v>
      </c>
      <c r="D149" s="3" t="n">
        <f aca="false">IFERROR(B149/C149,"")</f>
        <v>14.1304347826087</v>
      </c>
      <c r="E149" s="3" t="n">
        <f aca="false">B149-C149</f>
        <v>30.2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3" customFormat="false" ht="15" hidden="false" customHeight="false" outlineLevel="0" collapsed="false">
      <c r="A3" s="2" t="s">
        <v>155</v>
      </c>
    </row>
    <row r="4" customFormat="false" ht="15" hidden="false" customHeight="false" outlineLevel="0" collapsed="false">
      <c r="A4" s="2" t="s">
        <v>156</v>
      </c>
    </row>
    <row r="5" customFormat="false" ht="15" hidden="false" customHeight="false" outlineLevel="0" collapsed="false">
      <c r="A5" s="2" t="s">
        <v>157</v>
      </c>
    </row>
    <row r="6" customFormat="false" ht="15" hidden="false" customHeight="false" outlineLevel="0" collapsed="false">
      <c r="A6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2026-10-23T11:33:13Z</dcterms:created>
  <dc:creator>openpyxl</dc:creator>
  <dc:description/>
  <dc:language>en-US</dc:language>
  <cp:lastModifiedBy/>
  <dcterms:modified xsi:type="dcterms:W3CDTF">2026-10-23T11:33:13Z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